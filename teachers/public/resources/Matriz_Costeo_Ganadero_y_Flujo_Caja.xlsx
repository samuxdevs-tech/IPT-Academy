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o_y_Flujo_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A2B3F"/>
        <bgColor rgb="002A2B3F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D1D2E0"/>
      </left>
      <right style="thin">
        <color rgb="00D1D2E0"/>
      </right>
      <top style="thin">
        <color rgb="00D1D2E0"/>
      </top>
      <bottom style="thin">
        <color rgb="00D1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7" customWidth="1" min="1" max="1"/>
    <col width="45" customWidth="1" min="2" max="2"/>
    <col width="16" customWidth="1" min="3" max="3"/>
    <col width="16" customWidth="1" min="4" max="4"/>
    <col width="22" customWidth="1" min="5" max="5"/>
    <col width="21" customWidth="1" min="6" max="6"/>
    <col width="21" customWidth="1" min="7" max="7"/>
  </cols>
  <sheetData>
    <row r="1">
      <c r="A1" s="1" t="inlineStr">
        <is>
          <t>CATEGORÍA_COSTO</t>
        </is>
      </c>
      <c r="B1" s="1" t="inlineStr">
        <is>
          <t>CONCEPTO</t>
        </is>
      </c>
      <c r="C1" s="1" t="inlineStr">
        <is>
          <t>UNIDAD</t>
        </is>
      </c>
      <c r="D1" s="1" t="inlineStr">
        <is>
          <t>CANTIDAD_MES</t>
        </is>
      </c>
      <c r="E1" s="1" t="inlineStr">
        <is>
          <t>VALOR_UNITARIO_COP</t>
        </is>
      </c>
      <c r="F1" s="1" t="inlineStr">
        <is>
          <t>TOTAL_MENSUAL_COP</t>
        </is>
      </c>
      <c r="G1" s="1" t="inlineStr">
        <is>
          <t>TIPO_COSTO</t>
        </is>
      </c>
    </row>
    <row r="2">
      <c r="A2" s="2" t="inlineStr">
        <is>
          <t>Alimentación</t>
        </is>
      </c>
      <c r="B2" s="2" t="inlineStr">
        <is>
          <t>Sales Mineralizadas 8%</t>
        </is>
      </c>
      <c r="C2" s="2" t="inlineStr">
        <is>
          <t>Bulto 50kg</t>
        </is>
      </c>
      <c r="D2" s="2" t="n">
        <v>12</v>
      </c>
      <c r="E2" s="2" t="n">
        <v>115000</v>
      </c>
      <c r="F2" s="2">
        <f>D2*E2</f>
        <v/>
      </c>
      <c r="G2" s="2" t="inlineStr">
        <is>
          <t>Variable Directo</t>
        </is>
      </c>
    </row>
    <row r="3">
      <c r="A3" s="3" t="inlineStr">
        <is>
          <t>Alimentación</t>
        </is>
      </c>
      <c r="B3" s="3" t="inlineStr">
        <is>
          <t>Concentrado Lechero 18% Proteína</t>
        </is>
      </c>
      <c r="C3" s="3" t="inlineStr">
        <is>
          <t>Bulto 40kg</t>
        </is>
      </c>
      <c r="D3" s="3" t="n">
        <v>45</v>
      </c>
      <c r="E3" s="3" t="n">
        <v>98000</v>
      </c>
      <c r="F3" s="3">
        <f>D3*E3</f>
        <v/>
      </c>
      <c r="G3" s="3" t="inlineStr">
        <is>
          <t>Variable Directo</t>
        </is>
      </c>
    </row>
    <row r="4">
      <c r="A4" s="2" t="inlineStr">
        <is>
          <t>Sanidad</t>
        </is>
      </c>
      <c r="B4" s="2" t="inlineStr">
        <is>
          <t>Biológicos y Vacunas (Ciclo Aftosa/Bruc)</t>
        </is>
      </c>
      <c r="C4" s="2" t="inlineStr">
        <is>
          <t>Dosis</t>
        </is>
      </c>
      <c r="D4" s="2" t="n">
        <v>150</v>
      </c>
      <c r="E4" s="2" t="n">
        <v>4200</v>
      </c>
      <c r="F4" s="2">
        <f>D4*E4</f>
        <v/>
      </c>
      <c r="G4" s="2" t="inlineStr">
        <is>
          <t>Variable Directo</t>
        </is>
      </c>
    </row>
    <row r="5">
      <c r="A5" s="3" t="inlineStr">
        <is>
          <t>Sanidad</t>
        </is>
      </c>
      <c r="B5" s="3" t="inlineStr">
        <is>
          <t>Antiparasitarios y Vitaminas</t>
        </is>
      </c>
      <c r="C5" s="3" t="inlineStr">
        <is>
          <t>Frasco 500ml</t>
        </is>
      </c>
      <c r="D5" s="3" t="n">
        <v>4</v>
      </c>
      <c r="E5" s="3" t="n">
        <v>85000</v>
      </c>
      <c r="F5" s="3">
        <f>D5*E5</f>
        <v/>
      </c>
      <c r="G5" s="3" t="inlineStr">
        <is>
          <t>Variable Directo</t>
        </is>
      </c>
    </row>
    <row r="6">
      <c r="A6" s="2" t="inlineStr">
        <is>
          <t>Reproducción</t>
        </is>
      </c>
      <c r="B6" s="2" t="inlineStr">
        <is>
          <t>Pajillas Toro Probado + Nitrógeno</t>
        </is>
      </c>
      <c r="C6" s="2" t="inlineStr">
        <is>
          <t>Unidad</t>
        </is>
      </c>
      <c r="D6" s="2" t="n">
        <v>25</v>
      </c>
      <c r="E6" s="2" t="n">
        <v>45000</v>
      </c>
      <c r="F6" s="2">
        <f>D6*E6</f>
        <v/>
      </c>
      <c r="G6" s="2" t="inlineStr">
        <is>
          <t>Variable Directo</t>
        </is>
      </c>
    </row>
    <row r="7">
      <c r="A7" s="3" t="inlineStr">
        <is>
          <t>Mano de Obra</t>
        </is>
      </c>
      <c r="B7" s="3" t="inlineStr">
        <is>
          <t>Nómina Vaquero y Mayordomo</t>
        </is>
      </c>
      <c r="C7" s="3" t="inlineStr">
        <is>
          <t>Mes</t>
        </is>
      </c>
      <c r="D7" s="3" t="n">
        <v>2</v>
      </c>
      <c r="E7" s="3" t="n">
        <v>1750000</v>
      </c>
      <c r="F7" s="3">
        <f>D7*E7</f>
        <v/>
      </c>
      <c r="G7" s="3" t="inlineStr">
        <is>
          <t>Fijo Operativo</t>
        </is>
      </c>
    </row>
    <row r="8">
      <c r="A8" s="2" t="inlineStr">
        <is>
          <t>Infraestructura</t>
        </is>
      </c>
      <c r="B8" s="2" t="inlineStr">
        <is>
          <t>Mantenimiento de Cercas y Bebederos</t>
        </is>
      </c>
      <c r="C8" s="2" t="inlineStr">
        <is>
          <t>Global</t>
        </is>
      </c>
      <c r="D8" s="2" t="n">
        <v>1</v>
      </c>
      <c r="E8" s="2" t="n">
        <v>600000</v>
      </c>
      <c r="F8" s="2">
        <f>D8*E8</f>
        <v/>
      </c>
      <c r="G8" s="2" t="inlineStr">
        <is>
          <t>Fijo Operativo</t>
        </is>
      </c>
    </row>
    <row r="9">
      <c r="A9" s="3" t="inlineStr">
        <is>
          <t>Depreciación</t>
        </is>
      </c>
      <c r="B9" s="3" t="inlineStr">
        <is>
          <t>Depreciación Zootécnica Vientres (NIC 41)</t>
        </is>
      </c>
      <c r="C9" s="3" t="inlineStr">
        <is>
          <t>Mes</t>
        </is>
      </c>
      <c r="D9" s="3" t="n">
        <v>1</v>
      </c>
      <c r="E9" s="3" t="n">
        <v>1250000</v>
      </c>
      <c r="F9" s="3">
        <f>D9*E9</f>
        <v/>
      </c>
      <c r="G9" s="3" t="inlineStr">
        <is>
          <t>Fijo No Monetario</t>
        </is>
      </c>
    </row>
    <row r="10"/>
    <row r="11">
      <c r="A11" s="1" t="inlineStr">
        <is>
          <t>TOTAL COSTO OPERATIVO MENSUAL</t>
        </is>
      </c>
      <c r="B11" s="1" t="inlineStr"/>
      <c r="C11" s="1" t="inlineStr"/>
      <c r="D11" s="1" t="inlineStr"/>
      <c r="E11" s="1" t="inlineStr"/>
      <c r="F11" s="1">
        <f>SUM(F2:F9)</f>
        <v/>
      </c>
      <c r="G11" s="1" t="inlineStr"/>
    </row>
    <row r="12">
      <c r="A12" s="2" t="inlineStr">
        <is>
          <t>PRODUCCIÓN TOTAL LITROS / MES</t>
        </is>
      </c>
      <c r="B12" s="2" t="inlineStr"/>
      <c r="C12" s="2" t="inlineStr"/>
      <c r="D12" s="2" t="n">
        <v>10500</v>
      </c>
      <c r="E12" s="2" t="inlineStr">
        <is>
          <t>Litros</t>
        </is>
      </c>
      <c r="F12" s="2" t="inlineStr"/>
      <c r="G12" s="2" t="inlineStr"/>
    </row>
    <row r="13">
      <c r="A13" s="3" t="inlineStr">
        <is>
          <t>COSTO UNITARIO POR LITRO DE LECHE</t>
        </is>
      </c>
      <c r="B13" s="3" t="inlineStr"/>
      <c r="C13" s="3" t="inlineStr"/>
      <c r="D13" s="3" t="inlineStr"/>
      <c r="E13" s="3" t="inlineStr"/>
      <c r="F13" s="3">
        <f>F11/D12</f>
        <v/>
      </c>
      <c r="G13" s="3" t="inlineStr">
        <is>
          <t>COP/Litro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2026-10-18T21:02:25Z</dcterms:created>
  <dcterms:modified xmlns:dcterms="http://purl.org/dc/terms/" xmlns:xsi="http://www.w3.org/2001/XMLSchema-instance" xsi:type="dcterms:W3CDTF">2026-10-18T21:02:25Z</dcterms:modified>
</cp:coreProperties>
</file>